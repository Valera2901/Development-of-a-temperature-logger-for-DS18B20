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\Altium\Projects\ШЮГИ.468262.004\Project Outputs for ШЮГИ.468262.004 Э3\"/>
    </mc:Choice>
  </mc:AlternateContent>
  <bookViews>
    <workbookView xWindow="0" yWindow="0" windowWidth="21540" windowHeight="11250"/>
  </bookViews>
  <sheets>
    <sheet name="ШЮГИ.468262.004 Э3" sheetId="1" r:id="rId1"/>
  </sheets>
  <definedNames>
    <definedName name="_xlnm.Print_Titles" localSheetId="0">'ШЮГИ.468262.004 Э3'!$1:$1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2" i="1" l="1"/>
  <c r="A4" i="1"/>
  <c r="A5" i="1" s="1"/>
  <c r="A6" i="1" s="1"/>
  <c r="A7" i="1" s="1"/>
  <c r="A8" i="1" s="1"/>
  <c r="A9" i="1" s="1"/>
  <c r="A10" i="1" s="1"/>
  <c r="A3" i="1"/>
  <c r="A13" i="1" l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</calcChain>
</file>

<file path=xl/sharedStrings.xml><?xml version="1.0" encoding="utf-8"?>
<sst xmlns="http://schemas.openxmlformats.org/spreadsheetml/2006/main" count="206" uniqueCount="130">
  <si>
    <t>Line #</t>
  </si>
  <si>
    <t>Designator</t>
  </si>
  <si>
    <t>Quantity</t>
  </si>
  <si>
    <t>ТИП</t>
  </si>
  <si>
    <t>ValueBOM</t>
  </si>
  <si>
    <t>A1</t>
  </si>
  <si>
    <t>Устройтсво</t>
  </si>
  <si>
    <t>KY-023 Aitewin Robot</t>
  </si>
  <si>
    <t>A1_C15, A2_C15, A3_C18, A4_C18, A5_C18, C1, C2, C5...C7, C10...C14</t>
  </si>
  <si>
    <t>Конденсатор</t>
  </si>
  <si>
    <t>0603B104J500CT Thunder</t>
  </si>
  <si>
    <t>A1_C16, A2_C16</t>
  </si>
  <si>
    <t>0603B561J500CT Thunder</t>
  </si>
  <si>
    <t>A1_C17, A2_C17</t>
  </si>
  <si>
    <t>JCK1C100M040054 JB Capacitors</t>
  </si>
  <si>
    <t>A1_DA2, A2_DA2</t>
  </si>
  <si>
    <t>Микросхема</t>
  </si>
  <si>
    <t>MC34063ADG ON Semiconductor</t>
  </si>
  <si>
    <t>A1_L3, A2_L3</t>
  </si>
  <si>
    <t>Дроссель</t>
  </si>
  <si>
    <t>CDRH74NP-101MC-B SUMIDA CORPORATION</t>
  </si>
  <si>
    <t>A1_R16, A2_R16</t>
  </si>
  <si>
    <t>Резистор</t>
  </si>
  <si>
    <t>CRL1206-FW-R220ELF Bourns</t>
  </si>
  <si>
    <t>A1_R17</t>
  </si>
  <si>
    <t>Р1-12-0,25-1,21 кОм±2 %-Т-Л-М АБШК.434110.023 ТУ</t>
  </si>
  <si>
    <t>A1_R18</t>
  </si>
  <si>
    <t>Р1-12-0,25-3,65 кОм±2 %-Т-Л-М АБШК.434110.023 ТУ</t>
  </si>
  <si>
    <t>A1_VD4, A2_VD4</t>
  </si>
  <si>
    <t>10MQ040 Sunmate Electronics</t>
  </si>
  <si>
    <t>A2_R17</t>
  </si>
  <si>
    <t>Р1-12-0,25-1 кОм±2 %-Т-Л-М АБШК.434110.023 ТУ</t>
  </si>
  <si>
    <t>A2_R18</t>
  </si>
  <si>
    <t>Р1-12-0,25-1,65 кОм±2 %-Т-Л-М АБШК.434110.023 ТУ</t>
  </si>
  <si>
    <t>A3_DD6, A4_DD6, A5_DD6</t>
  </si>
  <si>
    <t>DS18B20 UTD Semiconductor Co.,Ltd</t>
  </si>
  <si>
    <t>A3_X6, A3_X7, A4_X6, A4_X7, A5_X6, A5_X7</t>
  </si>
  <si>
    <t>Соединитель</t>
  </si>
  <si>
    <t>DS1021-01-1*3SSF112 Connfly electronic</t>
  </si>
  <si>
    <t>C3</t>
  </si>
  <si>
    <t>JCK1E100M050054 JB Capacitors</t>
  </si>
  <si>
    <t>C4</t>
  </si>
  <si>
    <t>JCK1E470M063054 JB Capacitors</t>
  </si>
  <si>
    <t>C8</t>
  </si>
  <si>
    <t>JCK1E220M063054 JB Capacitors</t>
  </si>
  <si>
    <t>C9</t>
  </si>
  <si>
    <t>JCK1C221M080105 JB Capacitors</t>
  </si>
  <si>
    <t>DA1</t>
  </si>
  <si>
    <t>XL6009E1 Shanghai Xinlong Semiconductor Technology Co., Ltd</t>
  </si>
  <si>
    <t>DD1</t>
  </si>
  <si>
    <t>ESP32-S3-WROOM1 MON16R8 Espressif</t>
  </si>
  <si>
    <t>DD2</t>
  </si>
  <si>
    <t>PCF8574T Philips Semiconductors</t>
  </si>
  <si>
    <t>DD3</t>
  </si>
  <si>
    <t>NEO-6M U-Blox</t>
  </si>
  <si>
    <t>DD4</t>
  </si>
  <si>
    <t>DS3231S# Maxim Integrated Products</t>
  </si>
  <si>
    <t>DD5</t>
  </si>
  <si>
    <t>24AA32AT-I/ST Microchip Technology</t>
  </si>
  <si>
    <t>G1, G2</t>
  </si>
  <si>
    <t>KLS5-CR2032-01 KLS electronic co ltd</t>
  </si>
  <si>
    <t>HG1</t>
  </si>
  <si>
    <t>Оптоэлектроника</t>
  </si>
  <si>
    <t>BCB2004-03-LW-SNMWD Blaze Display Technology</t>
  </si>
  <si>
    <t>HL1</t>
  </si>
  <si>
    <t>Светодиод</t>
  </si>
  <si>
    <t>FYLS-0603GC Ningbo Foryard Optoelectronics</t>
  </si>
  <si>
    <t>L1</t>
  </si>
  <si>
    <t>Дроссель связный</t>
  </si>
  <si>
    <t>7448991470 Würth Elektronik</t>
  </si>
  <si>
    <t>L2</t>
  </si>
  <si>
    <t>LQM21DN220N00L Murata Electronics</t>
  </si>
  <si>
    <t>R1...R3, R5</t>
  </si>
  <si>
    <t>Р1-12-0,063-10 кОм±2 %-Т-Л-М АБШК.434110.023 ТУ</t>
  </si>
  <si>
    <t>R4, R7, R14</t>
  </si>
  <si>
    <t>НР1-86-6-10 кОм±1 %-М-«А» ШКАБ.434110.039 ТУ</t>
  </si>
  <si>
    <t>R6</t>
  </si>
  <si>
    <t>Р1-12-0,063-86,6 кОм±2 %-Т-Л-М АБШК.434110.023 ТУ</t>
  </si>
  <si>
    <t>R8</t>
  </si>
  <si>
    <t>3362P-1-103LF Bourns</t>
  </si>
  <si>
    <t>R9, R10</t>
  </si>
  <si>
    <t>Р1-12-0,063-22,1 Ом±2 %-Т-Л-М АБШК.434110.023 ТУ</t>
  </si>
  <si>
    <t>R11, R13, R15</t>
  </si>
  <si>
    <t>Р1-12-0,063-1 кОм±2 %-Т-Л-М АБШК.434110.023 ТУ</t>
  </si>
  <si>
    <t>R12</t>
  </si>
  <si>
    <t>Р1-12-0,125-22,1 Ом±2 %-Т-Л-М АБШК.434110.023 ТУ</t>
  </si>
  <si>
    <t>SA1</t>
  </si>
  <si>
    <t>MTS-103-C3 Massuse Ltd.</t>
  </si>
  <si>
    <t>SB1, SB2</t>
  </si>
  <si>
    <t>KLS7-TS3401-2.5-250-B KLS Electronics Co., Ltd.</t>
  </si>
  <si>
    <t>VD1</t>
  </si>
  <si>
    <t>VS-50WQ03FN-M3 Vishay Intertechnology Inc.</t>
  </si>
  <si>
    <t>VD2, VD3</t>
  </si>
  <si>
    <t>LL4148 Diotec Semiconductor</t>
  </si>
  <si>
    <t>VT1</t>
  </si>
  <si>
    <t>BC847 NXP Semiconductors</t>
  </si>
  <si>
    <t>WA1</t>
  </si>
  <si>
    <t>U.FL-R-SMT-1 HIROSE ELECTRIC CO., LTD.</t>
  </si>
  <si>
    <t>X1</t>
  </si>
  <si>
    <t>DS1069-4MRW6XB Connfly electronic</t>
  </si>
  <si>
    <t>X2</t>
  </si>
  <si>
    <t>1050017-0001 Molex</t>
  </si>
  <si>
    <t>X3, X5</t>
  </si>
  <si>
    <t>DS-261A-PA9T-NB-210 Dragon City Industries</t>
  </si>
  <si>
    <t>X4</t>
  </si>
  <si>
    <t>TFP09-2-12B Shenzhen Chipskey Technology Co., Ltd.</t>
  </si>
  <si>
    <t>Полупроводник</t>
  </si>
  <si>
    <t>Выключатель</t>
  </si>
  <si>
    <t>XWA1</t>
  </si>
  <si>
    <t>XG1, XG2</t>
  </si>
  <si>
    <t>GPCR2032-7C1 GP Batteries</t>
  </si>
  <si>
    <t>Элемент питания</t>
  </si>
  <si>
    <t>Антенна</t>
  </si>
  <si>
    <t>Антенна NSS Ceramic Antenna Waveshare International Limited</t>
  </si>
  <si>
    <t>DS1021-1*16SF11-B Connfly electronic</t>
  </si>
  <si>
    <t>XH1.1</t>
  </si>
  <si>
    <t>XH1.2</t>
  </si>
  <si>
    <t>DS1023-1*16S21 Connfly electronic</t>
  </si>
  <si>
    <t>Type</t>
  </si>
  <si>
    <t>A</t>
  </si>
  <si>
    <t>C</t>
  </si>
  <si>
    <t>L</t>
  </si>
  <si>
    <t>R</t>
  </si>
  <si>
    <t>X</t>
  </si>
  <si>
    <t>D</t>
  </si>
  <si>
    <t>V</t>
  </si>
  <si>
    <t>G</t>
  </si>
  <si>
    <t>H</t>
  </si>
  <si>
    <t>S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</si>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</sst>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4"/>
      <color theme="1"/>
      <name val="Times New Roman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2" xfId="0" applyFill="1" applyBorder="1"/>
    <xf numFmtId="0" fontId="0" fillId="0" borderId="3" xfId="0" applyFill="1" applyBorder="1"/>
    <xf numFmtId="0" fontId="0" fillId="0" borderId="0" xfId="0" quotePrefix="1" applyBorder="1"/>
    <xf numFmtId="0" fontId="0" fillId="0" borderId="1" xfId="0" applyFill="1" applyBorder="1"/>
    <xf numFmtId="0" fontId="0" fillId="0" borderId="2" xfId="0" quotePrefix="1" applyBorder="1"/>
    <xf numFmtId="0" fontId="0" fillId="0" borderId="2" xfId="0" applyBorder="1"/>
    <xf numFmtId="0" fontId="0" fillId="0" borderId="1" xfId="0" applyBorder="1" applyAlignment="1">
      <alignment wrapText="1"/>
    </xf>
    <xf numFmtId="0" fontId="0" fillId="0" borderId="3" xfId="0" quotePrefix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topLeftCell="A43" workbookViewId="0">
      <selection activeCell="G3" sqref="G3"/>
    </sheetView>
  </sheetViews>
  <sheetFormatPr defaultRowHeight="18.75" x14ac:dyDescent="0.3"/>
  <cols>
    <col min="1" max="1" width="7.33203125" customWidth="1"/>
    <col min="2" max="2" width="12.88671875" customWidth="1"/>
    <col min="4" max="4" width="15.6640625" customWidth="1"/>
    <col min="5" max="5" width="63.109375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118</v>
      </c>
    </row>
    <row r="2" spans="1:6" x14ac:dyDescent="0.3">
      <c r="A2" s="1">
        <v>4</v>
      </c>
      <c r="B2" s="2" t="s">
        <v>5</v>
      </c>
      <c r="C2" s="1">
        <v>1</v>
      </c>
      <c r="D2" s="2" t="s">
        <v>6</v>
      </c>
      <c r="E2" s="2" t="s">
        <v>7</v>
      </c>
      <c r="F2" s="5" t="s">
        <v>119</v>
      </c>
    </row>
    <row r="3" spans="1:6" x14ac:dyDescent="0.3">
      <c r="A3" s="2">
        <f>A2+1</f>
        <v>5</v>
      </c>
      <c r="B3" s="2" t="s">
        <v>8</v>
      </c>
      <c r="C3" s="1">
        <v>15</v>
      </c>
      <c r="D3" s="2" t="s">
        <v>9</v>
      </c>
      <c r="E3" s="2" t="s">
        <v>10</v>
      </c>
      <c r="F3" s="5" t="s">
        <v>120</v>
      </c>
    </row>
    <row r="4" spans="1:6" x14ac:dyDescent="0.3">
      <c r="A4" s="2">
        <f t="shared" ref="A4:A51" si="0">A3+1</f>
        <v>6</v>
      </c>
      <c r="B4" s="2" t="s">
        <v>11</v>
      </c>
      <c r="C4" s="1">
        <v>2</v>
      </c>
      <c r="D4" s="2" t="s">
        <v>9</v>
      </c>
      <c r="E4" s="2" t="s">
        <v>12</v>
      </c>
      <c r="F4" s="5" t="s">
        <v>120</v>
      </c>
    </row>
    <row r="5" spans="1:6" x14ac:dyDescent="0.3">
      <c r="A5" s="2">
        <f t="shared" si="0"/>
        <v>7</v>
      </c>
      <c r="B5" s="2" t="s">
        <v>13</v>
      </c>
      <c r="C5" s="1">
        <v>2</v>
      </c>
      <c r="D5" s="2" t="s">
        <v>9</v>
      </c>
      <c r="E5" s="2" t="s">
        <v>14</v>
      </c>
      <c r="F5" s="5" t="s">
        <v>120</v>
      </c>
    </row>
    <row r="6" spans="1:6" x14ac:dyDescent="0.3">
      <c r="A6" s="2">
        <f t="shared" si="0"/>
        <v>8</v>
      </c>
      <c r="B6" s="2" t="s">
        <v>45</v>
      </c>
      <c r="C6" s="1">
        <v>1</v>
      </c>
      <c r="D6" s="2" t="s">
        <v>9</v>
      </c>
      <c r="E6" s="2" t="s">
        <v>46</v>
      </c>
      <c r="F6" s="6" t="s">
        <v>120</v>
      </c>
    </row>
    <row r="7" spans="1:6" x14ac:dyDescent="0.3">
      <c r="A7" s="2">
        <f t="shared" si="0"/>
        <v>9</v>
      </c>
      <c r="B7" s="2" t="s">
        <v>39</v>
      </c>
      <c r="C7" s="1">
        <v>1</v>
      </c>
      <c r="D7" s="2" t="s">
        <v>9</v>
      </c>
      <c r="E7" s="2" t="s">
        <v>40</v>
      </c>
      <c r="F7" s="6" t="s">
        <v>120</v>
      </c>
    </row>
    <row r="8" spans="1:6" x14ac:dyDescent="0.3">
      <c r="A8" s="2">
        <f t="shared" si="0"/>
        <v>10</v>
      </c>
      <c r="B8" s="2" t="s">
        <v>43</v>
      </c>
      <c r="C8" s="1">
        <v>1</v>
      </c>
      <c r="D8" s="2" t="s">
        <v>9</v>
      </c>
      <c r="E8" s="2" t="s">
        <v>44</v>
      </c>
      <c r="F8" s="6" t="s">
        <v>120</v>
      </c>
    </row>
    <row r="9" spans="1:6" x14ac:dyDescent="0.3">
      <c r="A9" s="2">
        <f t="shared" si="0"/>
        <v>11</v>
      </c>
      <c r="B9" s="2" t="s">
        <v>41</v>
      </c>
      <c r="C9" s="1">
        <v>1</v>
      </c>
      <c r="D9" s="2" t="s">
        <v>9</v>
      </c>
      <c r="E9" s="2" t="s">
        <v>42</v>
      </c>
      <c r="F9" s="6" t="s">
        <v>120</v>
      </c>
    </row>
    <row r="10" spans="1:6" x14ac:dyDescent="0.3">
      <c r="A10" s="2">
        <f t="shared" si="0"/>
        <v>12</v>
      </c>
      <c r="B10" s="2" t="s">
        <v>57</v>
      </c>
      <c r="C10" s="1">
        <v>1</v>
      </c>
      <c r="D10" s="2" t="s">
        <v>16</v>
      </c>
      <c r="E10" s="2" t="s">
        <v>58</v>
      </c>
      <c r="F10" s="6" t="s">
        <v>124</v>
      </c>
    </row>
    <row r="11" spans="1:6" x14ac:dyDescent="0.3">
      <c r="A11" s="2"/>
      <c r="B11" s="2" t="s">
        <v>34</v>
      </c>
      <c r="C11" s="1">
        <v>3</v>
      </c>
      <c r="D11" s="2" t="s">
        <v>16</v>
      </c>
      <c r="E11" s="2" t="s">
        <v>35</v>
      </c>
      <c r="F11" s="6" t="s">
        <v>124</v>
      </c>
    </row>
    <row r="12" spans="1:6" x14ac:dyDescent="0.3">
      <c r="A12" s="2">
        <f>A10+1</f>
        <v>13</v>
      </c>
      <c r="B12" s="2" t="s">
        <v>55</v>
      </c>
      <c r="C12" s="1">
        <v>1</v>
      </c>
      <c r="D12" s="2" t="s">
        <v>16</v>
      </c>
      <c r="E12" s="2" t="s">
        <v>56</v>
      </c>
      <c r="F12" s="6" t="s">
        <v>124</v>
      </c>
    </row>
    <row r="13" spans="1:6" x14ac:dyDescent="0.3">
      <c r="A13" s="2">
        <f t="shared" si="0"/>
        <v>14</v>
      </c>
      <c r="B13" s="2" t="s">
        <v>49</v>
      </c>
      <c r="C13" s="1">
        <v>1</v>
      </c>
      <c r="D13" s="2" t="s">
        <v>16</v>
      </c>
      <c r="E13" s="2" t="s">
        <v>50</v>
      </c>
      <c r="F13" s="6" t="s">
        <v>124</v>
      </c>
    </row>
    <row r="14" spans="1:6" x14ac:dyDescent="0.3">
      <c r="A14" s="2">
        <f t="shared" si="0"/>
        <v>15</v>
      </c>
      <c r="B14" s="2" t="s">
        <v>15</v>
      </c>
      <c r="C14" s="1">
        <v>2</v>
      </c>
      <c r="D14" s="2" t="s">
        <v>16</v>
      </c>
      <c r="E14" s="2" t="s">
        <v>17</v>
      </c>
      <c r="F14" s="6" t="s">
        <v>124</v>
      </c>
    </row>
    <row r="15" spans="1:6" x14ac:dyDescent="0.3">
      <c r="A15" s="2">
        <f t="shared" si="0"/>
        <v>16</v>
      </c>
      <c r="B15" s="2" t="s">
        <v>53</v>
      </c>
      <c r="C15" s="1">
        <v>1</v>
      </c>
      <c r="D15" s="2" t="s">
        <v>16</v>
      </c>
      <c r="E15" s="2" t="s">
        <v>54</v>
      </c>
      <c r="F15" s="6" t="s">
        <v>124</v>
      </c>
    </row>
    <row r="16" spans="1:6" x14ac:dyDescent="0.3">
      <c r="A16" s="2">
        <f t="shared" si="0"/>
        <v>17</v>
      </c>
      <c r="B16" s="2" t="s">
        <v>51</v>
      </c>
      <c r="C16" s="1">
        <v>1</v>
      </c>
      <c r="D16" s="2" t="s">
        <v>16</v>
      </c>
      <c r="E16" s="2" t="s">
        <v>52</v>
      </c>
      <c r="F16" s="6" t="s">
        <v>124</v>
      </c>
    </row>
    <row r="17" spans="1:6" x14ac:dyDescent="0.3">
      <c r="A17" s="2">
        <f t="shared" si="0"/>
        <v>18</v>
      </c>
      <c r="B17" s="2" t="s">
        <v>47</v>
      </c>
      <c r="C17" s="1">
        <v>1</v>
      </c>
      <c r="D17" s="2" t="s">
        <v>16</v>
      </c>
      <c r="E17" s="2" t="s">
        <v>48</v>
      </c>
      <c r="F17" s="6" t="s">
        <v>124</v>
      </c>
    </row>
    <row r="18" spans="1:6" x14ac:dyDescent="0.3">
      <c r="A18" s="2">
        <f t="shared" si="0"/>
        <v>19</v>
      </c>
      <c r="B18" s="2" t="s">
        <v>59</v>
      </c>
      <c r="C18" s="1">
        <v>2</v>
      </c>
      <c r="D18" s="2" t="s">
        <v>111</v>
      </c>
      <c r="E18" s="2" t="s">
        <v>110</v>
      </c>
      <c r="F18" s="6" t="s">
        <v>126</v>
      </c>
    </row>
    <row r="19" spans="1:6" x14ac:dyDescent="0.3">
      <c r="A19" s="2">
        <f t="shared" si="0"/>
        <v>20</v>
      </c>
      <c r="B19" s="2" t="s">
        <v>61</v>
      </c>
      <c r="C19" s="1">
        <v>1</v>
      </c>
      <c r="D19" s="2" t="s">
        <v>62</v>
      </c>
      <c r="E19" s="2" t="s">
        <v>63</v>
      </c>
      <c r="F19" s="6" t="s">
        <v>127</v>
      </c>
    </row>
    <row r="20" spans="1:6" x14ac:dyDescent="0.3">
      <c r="A20" s="2">
        <f t="shared" si="0"/>
        <v>21</v>
      </c>
      <c r="B20" s="2" t="s">
        <v>64</v>
      </c>
      <c r="C20" s="1">
        <v>1</v>
      </c>
      <c r="D20" s="2" t="s">
        <v>65</v>
      </c>
      <c r="E20" s="2" t="s">
        <v>66</v>
      </c>
      <c r="F20" s="6" t="s">
        <v>127</v>
      </c>
    </row>
    <row r="21" spans="1:6" x14ac:dyDescent="0.3">
      <c r="A21" s="2">
        <f t="shared" si="0"/>
        <v>22</v>
      </c>
      <c r="B21" s="2" t="s">
        <v>67</v>
      </c>
      <c r="C21" s="1">
        <v>1</v>
      </c>
      <c r="D21" s="2" t="s">
        <v>68</v>
      </c>
      <c r="E21" s="2" t="s">
        <v>69</v>
      </c>
      <c r="F21" s="6" t="s">
        <v>121</v>
      </c>
    </row>
    <row r="22" spans="1:6" x14ac:dyDescent="0.3">
      <c r="A22" s="2">
        <f t="shared" si="0"/>
        <v>23</v>
      </c>
      <c r="B22" s="2" t="s">
        <v>18</v>
      </c>
      <c r="C22" s="1">
        <v>2</v>
      </c>
      <c r="D22" s="2" t="s">
        <v>19</v>
      </c>
      <c r="E22" s="2" t="s">
        <v>20</v>
      </c>
      <c r="F22" s="6" t="s">
        <v>121</v>
      </c>
    </row>
    <row r="23" spans="1:6" x14ac:dyDescent="0.3">
      <c r="A23" s="2">
        <f t="shared" si="0"/>
        <v>24</v>
      </c>
      <c r="B23" s="2" t="s">
        <v>70</v>
      </c>
      <c r="C23" s="1">
        <v>1</v>
      </c>
      <c r="D23" s="2" t="s">
        <v>19</v>
      </c>
      <c r="E23" s="2" t="s">
        <v>71</v>
      </c>
      <c r="F23" s="6" t="s">
        <v>121</v>
      </c>
    </row>
    <row r="24" spans="1:6" x14ac:dyDescent="0.3">
      <c r="A24" s="2">
        <f t="shared" si="0"/>
        <v>25</v>
      </c>
      <c r="B24" s="2" t="s">
        <v>78</v>
      </c>
      <c r="C24" s="1">
        <v>1</v>
      </c>
      <c r="D24" s="2" t="s">
        <v>22</v>
      </c>
      <c r="E24" s="2" t="s">
        <v>79</v>
      </c>
      <c r="F24" s="6" t="s">
        <v>122</v>
      </c>
    </row>
    <row r="25" spans="1:6" x14ac:dyDescent="0.3">
      <c r="A25" s="2">
        <f t="shared" si="0"/>
        <v>26</v>
      </c>
      <c r="B25" s="2" t="s">
        <v>21</v>
      </c>
      <c r="C25" s="1">
        <v>2</v>
      </c>
      <c r="D25" s="2" t="s">
        <v>22</v>
      </c>
      <c r="E25" s="2" t="s">
        <v>23</v>
      </c>
      <c r="F25" s="6" t="s">
        <v>122</v>
      </c>
    </row>
    <row r="26" spans="1:6" x14ac:dyDescent="0.3">
      <c r="A26" s="2">
        <f t="shared" si="0"/>
        <v>27</v>
      </c>
      <c r="B26" s="2" t="s">
        <v>74</v>
      </c>
      <c r="C26" s="1">
        <v>3</v>
      </c>
      <c r="D26" s="2" t="s">
        <v>22</v>
      </c>
      <c r="E26" s="2" t="s">
        <v>75</v>
      </c>
      <c r="F26" s="6" t="s">
        <v>122</v>
      </c>
    </row>
    <row r="27" spans="1:6" x14ac:dyDescent="0.3">
      <c r="A27" s="2">
        <f t="shared" si="0"/>
        <v>28</v>
      </c>
      <c r="B27" s="2" t="s">
        <v>82</v>
      </c>
      <c r="C27" s="1">
        <v>3</v>
      </c>
      <c r="D27" s="2" t="s">
        <v>22</v>
      </c>
      <c r="E27" s="2" t="s">
        <v>83</v>
      </c>
      <c r="F27" s="6" t="s">
        <v>122</v>
      </c>
    </row>
    <row r="28" spans="1:6" x14ac:dyDescent="0.3">
      <c r="A28" s="2">
        <f t="shared" si="0"/>
        <v>29</v>
      </c>
      <c r="B28" s="2" t="s">
        <v>72</v>
      </c>
      <c r="C28" s="1">
        <v>4</v>
      </c>
      <c r="D28" s="2" t="s">
        <v>22</v>
      </c>
      <c r="E28" s="2" t="s">
        <v>73</v>
      </c>
      <c r="F28" s="6" t="s">
        <v>122</v>
      </c>
    </row>
    <row r="29" spans="1:6" x14ac:dyDescent="0.3">
      <c r="A29" s="2">
        <f t="shared" si="0"/>
        <v>30</v>
      </c>
      <c r="B29" s="2" t="s">
        <v>80</v>
      </c>
      <c r="C29" s="1">
        <v>2</v>
      </c>
      <c r="D29" s="2" t="s">
        <v>22</v>
      </c>
      <c r="E29" s="2" t="s">
        <v>81</v>
      </c>
      <c r="F29" s="6" t="s">
        <v>122</v>
      </c>
    </row>
    <row r="30" spans="1:6" x14ac:dyDescent="0.3">
      <c r="A30" s="2">
        <f t="shared" si="0"/>
        <v>31</v>
      </c>
      <c r="B30" s="2" t="s">
        <v>76</v>
      </c>
      <c r="C30" s="1">
        <v>1</v>
      </c>
      <c r="D30" s="2" t="s">
        <v>22</v>
      </c>
      <c r="E30" s="2" t="s">
        <v>77</v>
      </c>
      <c r="F30" s="6" t="s">
        <v>122</v>
      </c>
    </row>
    <row r="31" spans="1:6" x14ac:dyDescent="0.3">
      <c r="A31" s="2">
        <f t="shared" si="0"/>
        <v>32</v>
      </c>
      <c r="B31" s="2" t="s">
        <v>84</v>
      </c>
      <c r="C31" s="1">
        <v>1</v>
      </c>
      <c r="D31" s="2" t="s">
        <v>22</v>
      </c>
      <c r="E31" s="2" t="s">
        <v>85</v>
      </c>
      <c r="F31" s="6" t="s">
        <v>122</v>
      </c>
    </row>
    <row r="32" spans="1:6" x14ac:dyDescent="0.3">
      <c r="A32" s="2">
        <f t="shared" si="0"/>
        <v>33</v>
      </c>
      <c r="B32" s="2" t="s">
        <v>30</v>
      </c>
      <c r="C32" s="1">
        <v>1</v>
      </c>
      <c r="D32" s="2" t="s">
        <v>22</v>
      </c>
      <c r="E32" s="2" t="s">
        <v>31</v>
      </c>
      <c r="F32" s="6" t="s">
        <v>122</v>
      </c>
    </row>
    <row r="33" spans="1:6" x14ac:dyDescent="0.3">
      <c r="A33" s="2">
        <f t="shared" si="0"/>
        <v>34</v>
      </c>
      <c r="B33" s="2" t="s">
        <v>24</v>
      </c>
      <c r="C33" s="1">
        <v>1</v>
      </c>
      <c r="D33" s="2" t="s">
        <v>22</v>
      </c>
      <c r="E33" s="2" t="s">
        <v>25</v>
      </c>
      <c r="F33" s="6" t="s">
        <v>122</v>
      </c>
    </row>
    <row r="34" spans="1:6" x14ac:dyDescent="0.3">
      <c r="A34" s="2">
        <f t="shared" si="0"/>
        <v>35</v>
      </c>
      <c r="B34" s="2" t="s">
        <v>32</v>
      </c>
      <c r="C34" s="1">
        <v>1</v>
      </c>
      <c r="D34" s="2" t="s">
        <v>22</v>
      </c>
      <c r="E34" s="2" t="s">
        <v>33</v>
      </c>
      <c r="F34" s="6" t="s">
        <v>122</v>
      </c>
    </row>
    <row r="35" spans="1:6" x14ac:dyDescent="0.3">
      <c r="A35" s="2">
        <f t="shared" si="0"/>
        <v>36</v>
      </c>
      <c r="B35" s="2" t="s">
        <v>26</v>
      </c>
      <c r="C35" s="1">
        <v>1</v>
      </c>
      <c r="D35" s="2" t="s">
        <v>22</v>
      </c>
      <c r="E35" s="2" t="s">
        <v>27</v>
      </c>
      <c r="F35" s="6" t="s">
        <v>122</v>
      </c>
    </row>
    <row r="36" spans="1:6" x14ac:dyDescent="0.3">
      <c r="A36" s="2">
        <f t="shared" si="0"/>
        <v>37</v>
      </c>
      <c r="B36" s="2" t="s">
        <v>88</v>
      </c>
      <c r="C36" s="1">
        <v>2</v>
      </c>
      <c r="D36" s="2" t="s">
        <v>107</v>
      </c>
      <c r="E36" s="2" t="s">
        <v>89</v>
      </c>
      <c r="F36" s="6" t="s">
        <v>128</v>
      </c>
    </row>
    <row r="37" spans="1:6" x14ac:dyDescent="0.3">
      <c r="A37" s="2">
        <f t="shared" si="0"/>
        <v>38</v>
      </c>
      <c r="B37" s="2" t="s">
        <v>86</v>
      </c>
      <c r="C37" s="1">
        <v>1</v>
      </c>
      <c r="D37" s="2" t="s">
        <v>107</v>
      </c>
      <c r="E37" s="2" t="s">
        <v>87</v>
      </c>
      <c r="F37" s="6" t="s">
        <v>128</v>
      </c>
    </row>
    <row r="38" spans="1:6" x14ac:dyDescent="0.3">
      <c r="A38" s="2">
        <f t="shared" si="0"/>
        <v>39</v>
      </c>
      <c r="B38" s="2" t="s">
        <v>28</v>
      </c>
      <c r="C38" s="1">
        <v>2</v>
      </c>
      <c r="D38" s="2" t="s">
        <v>106</v>
      </c>
      <c r="E38" s="2" t="s">
        <v>29</v>
      </c>
      <c r="F38" s="6" t="s">
        <v>125</v>
      </c>
    </row>
    <row r="39" spans="1:6" x14ac:dyDescent="0.3">
      <c r="A39" s="2">
        <f t="shared" si="0"/>
        <v>40</v>
      </c>
      <c r="B39" s="2" t="s">
        <v>94</v>
      </c>
      <c r="C39" s="1">
        <v>1</v>
      </c>
      <c r="D39" s="2" t="s">
        <v>106</v>
      </c>
      <c r="E39" s="2" t="s">
        <v>95</v>
      </c>
      <c r="F39" s="6" t="s">
        <v>125</v>
      </c>
    </row>
    <row r="40" spans="1:6" x14ac:dyDescent="0.3">
      <c r="A40" s="2">
        <f t="shared" si="0"/>
        <v>41</v>
      </c>
      <c r="B40" s="2" t="s">
        <v>92</v>
      </c>
      <c r="C40" s="1">
        <v>2</v>
      </c>
      <c r="D40" s="2" t="s">
        <v>106</v>
      </c>
      <c r="E40" s="2" t="s">
        <v>93</v>
      </c>
      <c r="F40" s="6" t="s">
        <v>125</v>
      </c>
    </row>
    <row r="41" spans="1:6" x14ac:dyDescent="0.3">
      <c r="A41" s="2">
        <f t="shared" si="0"/>
        <v>42</v>
      </c>
      <c r="B41" s="2" t="s">
        <v>90</v>
      </c>
      <c r="C41" s="1">
        <v>1</v>
      </c>
      <c r="D41" s="2" t="s">
        <v>106</v>
      </c>
      <c r="E41" s="2" t="s">
        <v>91</v>
      </c>
      <c r="F41" s="6" t="s">
        <v>125</v>
      </c>
    </row>
    <row r="42" spans="1:6" x14ac:dyDescent="0.3">
      <c r="A42" s="2">
        <f t="shared" si="0"/>
        <v>43</v>
      </c>
      <c r="B42" s="8" t="s">
        <v>96</v>
      </c>
      <c r="C42" s="8">
        <v>1</v>
      </c>
      <c r="D42" s="8" t="s">
        <v>112</v>
      </c>
      <c r="E42" s="11" t="s">
        <v>113</v>
      </c>
      <c r="F42" s="6" t="s">
        <v>129</v>
      </c>
    </row>
    <row r="43" spans="1:6" x14ac:dyDescent="0.3">
      <c r="A43" s="2">
        <f t="shared" si="0"/>
        <v>44</v>
      </c>
      <c r="B43" s="2" t="s">
        <v>100</v>
      </c>
      <c r="C43" s="1">
        <v>1</v>
      </c>
      <c r="D43" s="2" t="s">
        <v>37</v>
      </c>
      <c r="E43" s="2" t="s">
        <v>101</v>
      </c>
      <c r="F43" s="6" t="s">
        <v>123</v>
      </c>
    </row>
    <row r="44" spans="1:6" x14ac:dyDescent="0.3">
      <c r="A44" s="2">
        <f t="shared" si="0"/>
        <v>45</v>
      </c>
      <c r="B44" s="2" t="s">
        <v>36</v>
      </c>
      <c r="C44" s="1">
        <v>6</v>
      </c>
      <c r="D44" s="2" t="s">
        <v>37</v>
      </c>
      <c r="E44" s="2" t="s">
        <v>38</v>
      </c>
      <c r="F44" s="6" t="s">
        <v>123</v>
      </c>
    </row>
    <row r="45" spans="1:6" x14ac:dyDescent="0.3">
      <c r="A45" s="2">
        <f t="shared" si="0"/>
        <v>46</v>
      </c>
      <c r="B45" s="8" t="s">
        <v>115</v>
      </c>
      <c r="C45" s="8">
        <v>1</v>
      </c>
      <c r="D45" s="2" t="s">
        <v>37</v>
      </c>
      <c r="E45" s="11" t="s">
        <v>114</v>
      </c>
      <c r="F45" s="6" t="s">
        <v>123</v>
      </c>
    </row>
    <row r="46" spans="1:6" x14ac:dyDescent="0.3">
      <c r="A46" s="2">
        <f t="shared" si="0"/>
        <v>47</v>
      </c>
      <c r="B46" s="8" t="s">
        <v>116</v>
      </c>
      <c r="C46" s="8">
        <v>1</v>
      </c>
      <c r="D46" s="2" t="s">
        <v>37</v>
      </c>
      <c r="E46" s="8" t="s">
        <v>117</v>
      </c>
      <c r="F46" s="6" t="s">
        <v>123</v>
      </c>
    </row>
    <row r="47" spans="1:6" x14ac:dyDescent="0.3">
      <c r="A47" s="2">
        <f t="shared" si="0"/>
        <v>48</v>
      </c>
      <c r="B47" s="2" t="s">
        <v>98</v>
      </c>
      <c r="C47" s="1">
        <v>1</v>
      </c>
      <c r="D47" s="2" t="s">
        <v>37</v>
      </c>
      <c r="E47" s="2" t="s">
        <v>99</v>
      </c>
      <c r="F47" s="6" t="s">
        <v>123</v>
      </c>
    </row>
    <row r="48" spans="1:6" x14ac:dyDescent="0.3">
      <c r="A48" s="2">
        <f t="shared" si="0"/>
        <v>49</v>
      </c>
      <c r="B48" s="2" t="s">
        <v>102</v>
      </c>
      <c r="C48" s="1">
        <v>2</v>
      </c>
      <c r="D48" s="2" t="s">
        <v>37</v>
      </c>
      <c r="E48" s="2" t="s">
        <v>103</v>
      </c>
      <c r="F48" s="6" t="s">
        <v>123</v>
      </c>
    </row>
    <row r="49" spans="1:6" ht="20.25" customHeight="1" x14ac:dyDescent="0.3">
      <c r="A49" s="2">
        <f t="shared" si="0"/>
        <v>50</v>
      </c>
      <c r="B49" s="9" t="s">
        <v>109</v>
      </c>
      <c r="C49" s="10">
        <v>2</v>
      </c>
      <c r="D49" s="9" t="s">
        <v>37</v>
      </c>
      <c r="E49" s="7" t="s">
        <v>60</v>
      </c>
      <c r="F49" s="6" t="s">
        <v>123</v>
      </c>
    </row>
    <row r="50" spans="1:6" x14ac:dyDescent="0.3">
      <c r="A50" s="2">
        <f t="shared" si="0"/>
        <v>51</v>
      </c>
      <c r="B50" s="9" t="s">
        <v>104</v>
      </c>
      <c r="C50" s="10">
        <v>1</v>
      </c>
      <c r="D50" s="2" t="s">
        <v>37</v>
      </c>
      <c r="E50" s="7" t="s">
        <v>105</v>
      </c>
      <c r="F50" s="6" t="s">
        <v>123</v>
      </c>
    </row>
    <row r="51" spans="1:6" x14ac:dyDescent="0.3">
      <c r="A51" s="2">
        <f t="shared" si="0"/>
        <v>52</v>
      </c>
      <c r="B51" s="9" t="s">
        <v>108</v>
      </c>
      <c r="C51" s="10">
        <v>1</v>
      </c>
      <c r="D51" s="2" t="s">
        <v>37</v>
      </c>
      <c r="E51" s="12" t="s">
        <v>97</v>
      </c>
      <c r="F51" s="6" t="s">
        <v>123</v>
      </c>
    </row>
  </sheetData>
  <sortState ref="A2:F51">
    <sortCondition ref="F2:F51"/>
    <sortCondition ref="E2:E5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ШЮГИ.468262.004 Э3</vt:lpstr>
      <vt:lpstr>'ШЮГИ.468262.004 Э3'!Заголовки_для_печати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Вшивцев Валерий Евгеньевич</dc:creator>
  <cp:lastModifiedBy>Вшивцев Валерий Евгеньевич</cp:lastModifiedBy>
  <dcterms:created xsi:type="dcterms:W3CDTF">2026-03-19T13:24:32Z</dcterms:created>
  <dcterms:modified xsi:type="dcterms:W3CDTF">2026-03-19T13:48:03Z</dcterms:modified>
</cp:coreProperties>
</file>